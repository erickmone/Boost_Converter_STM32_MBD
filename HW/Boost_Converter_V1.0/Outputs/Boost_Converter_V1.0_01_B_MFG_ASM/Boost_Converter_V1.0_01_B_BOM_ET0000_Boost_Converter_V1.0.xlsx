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Mike\Mike\Boost_Converter\Boost\HW\Boost_Converter_V1.0\Outputs\Boost_Converter_V1.0_01_B_MFG_ASM\"/>
    </mc:Choice>
  </mc:AlternateContent>
  <xr:revisionPtr revIDLastSave="0" documentId="8_{CC3F11CA-2137-4113-A3B4-D4FC6AAEFE83}" xr6:coauthVersionLast="47" xr6:coauthVersionMax="47" xr10:uidLastSave="{00000000-0000-0000-0000-000000000000}"/>
  <bookViews>
    <workbookView xWindow="3510" yWindow="3510" windowWidth="21600" windowHeight="11295" xr2:uid="{00000000-000D-0000-FFFF-FFFF00000000}"/>
  </bookViews>
  <sheets>
    <sheet name="Part List Report" sheetId="3" r:id="rId1"/>
    <sheet name="Project Information" sheetId="4" r:id="rId2"/>
  </sheets>
  <definedNames>
    <definedName name="_xlnm.Print_Titles" localSheetId="0">'Part List Report'!$1:$13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4" i="3" l="1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</calcChain>
</file>

<file path=xl/sharedStrings.xml><?xml version="1.0" encoding="utf-8"?>
<sst xmlns="http://schemas.openxmlformats.org/spreadsheetml/2006/main" count="226" uniqueCount="175">
  <si>
    <t>Project Full Path</t>
  </si>
  <si>
    <t>Project Filename</t>
  </si>
  <si>
    <t>Variant Name</t>
  </si>
  <si>
    <t>Data-Source Filename</t>
  </si>
  <si>
    <t>Data-Source Full Path</t>
  </si>
  <si>
    <t>Title</t>
  </si>
  <si>
    <t>Total Quantity</t>
  </si>
  <si>
    <t>Report Time</t>
  </si>
  <si>
    <t>Report Date</t>
  </si>
  <si>
    <t>Report Date &amp; Tine</t>
  </si>
  <si>
    <t>Output Name</t>
  </si>
  <si>
    <t>Output Type</t>
  </si>
  <si>
    <t>Output Generator Name</t>
  </si>
  <si>
    <t>Output Generator Description</t>
  </si>
  <si>
    <t>Report Date:</t>
  </si>
  <si>
    <t>Approved</t>
  </si>
  <si>
    <t>Notes</t>
  </si>
  <si>
    <t>#</t>
  </si>
  <si>
    <t>Codes Achat:</t>
  </si>
  <si>
    <t>NC/DNC = Non Câblé</t>
  </si>
  <si>
    <t>Affichage : Verifier l'alignement automatique des lignes sous peine d'occultation de certaines références</t>
  </si>
  <si>
    <t>BILL OF MATERIAL</t>
  </si>
  <si>
    <t>PCB Reference:</t>
  </si>
  <si>
    <t>Assembly Reference:</t>
  </si>
  <si>
    <t>ASM number :</t>
  </si>
  <si>
    <t>ASM Variant :</t>
  </si>
  <si>
    <t>ASM Index (Lot) :</t>
  </si>
  <si>
    <t>A = Appro sur caratéristiques</t>
  </si>
  <si>
    <t>B = Référence Fabricant à respecter</t>
  </si>
  <si>
    <t>TemplateBOM_1</t>
  </si>
  <si>
    <t>ET0000</t>
  </si>
  <si>
    <t>Boost_Converter_V1.0</t>
  </si>
  <si>
    <t>01</t>
  </si>
  <si>
    <t>B</t>
  </si>
  <si>
    <t>07/11/2025</t>
  </si>
  <si>
    <t>07:44</t>
  </si>
  <si>
    <t>51</t>
  </si>
  <si>
    <t>Designator</t>
  </si>
  <si>
    <t>C1</t>
  </si>
  <si>
    <t>C2, C4, C5, C6, C7</t>
  </si>
  <si>
    <t>C3, C19, C20</t>
  </si>
  <si>
    <t>C8, C9, C10, C11, C12, C13, C14, C15, C18, C21</t>
  </si>
  <si>
    <t>C16, C17, C22</t>
  </si>
  <si>
    <t>D1</t>
  </si>
  <si>
    <t>D2</t>
  </si>
  <si>
    <t>D3</t>
  </si>
  <si>
    <t>L1</t>
  </si>
  <si>
    <t>Q1</t>
  </si>
  <si>
    <t>R1</t>
  </si>
  <si>
    <t>R2, R3</t>
  </si>
  <si>
    <t>R4, R9, R10, R11, R12, R13, R14, R15, R16</t>
  </si>
  <si>
    <t>R5</t>
  </si>
  <si>
    <t>R6, R7, R8</t>
  </si>
  <si>
    <t>Rcs1, Rcs2</t>
  </si>
  <si>
    <t>U1</t>
  </si>
  <si>
    <t>U2</t>
  </si>
  <si>
    <t>U3</t>
  </si>
  <si>
    <t>U4, U6</t>
  </si>
  <si>
    <t>U5</t>
  </si>
  <si>
    <t>Comment</t>
  </si>
  <si>
    <t>270pF</t>
  </si>
  <si>
    <t>10 µF</t>
  </si>
  <si>
    <t>100nF@100V</t>
  </si>
  <si>
    <t>0.1 µF</t>
  </si>
  <si>
    <t>220nF</t>
  </si>
  <si>
    <t>Red</t>
  </si>
  <si>
    <t>White</t>
  </si>
  <si>
    <t>V40PW10C-M3/I</t>
  </si>
  <si>
    <t>15µH@14A</t>
  </si>
  <si>
    <t>IPD30N12S3L-31</t>
  </si>
  <si>
    <t>2R21</t>
  </si>
  <si>
    <t>22R</t>
  </si>
  <si>
    <t>10k</t>
  </si>
  <si>
    <t>10R</t>
  </si>
  <si>
    <t>300K</t>
  </si>
  <si>
    <t>0R01</t>
  </si>
  <si>
    <t>STM32G431KBT6</t>
  </si>
  <si>
    <t>IX4310T</t>
  </si>
  <si>
    <t>AP7381-50Y-13</t>
  </si>
  <si>
    <t>INA296B1IDDFR</t>
  </si>
  <si>
    <t>AP7381-33Y-13</t>
  </si>
  <si>
    <t>Description</t>
  </si>
  <si>
    <t>CAP CER 270PF 100V C0G/NP0 0603</t>
  </si>
  <si>
    <t>CAP CER 10UF 100V X7S 1210</t>
  </si>
  <si>
    <t>CAP CER 0.1UF 100V X8R 0603</t>
  </si>
  <si>
    <t>CAP CER 0.1UF 16V X7R 0603</t>
  </si>
  <si>
    <t>CAP CER 0603 220NF 16V X7R 10%</t>
  </si>
  <si>
    <t>LED RED SMD</t>
  </si>
  <si>
    <t>LED WHITE SMD</t>
  </si>
  <si>
    <t>Rectifier Diode Schottky 100V 40A 3-Pin(2+Tab) Slim DPAK T/R</t>
  </si>
  <si>
    <t>FIXED IND 15UH 14A 9 MOHM SMD</t>
  </si>
  <si>
    <t>Mosfet Single, 30A, 120V, 57W, To-252-3 Rohs Compliant: Yes |Infineon</t>
  </si>
  <si>
    <t>RES 2.21 OHM 1% 1/8W 0603</t>
  </si>
  <si>
    <t>RES SMD 22 OHM 1% 1/10W 0603</t>
  </si>
  <si>
    <t>RES 10K OHM 0.1% 1/10W 0603</t>
  </si>
  <si>
    <t>RES SMD 10 OHM 1% 1/4W 0603</t>
  </si>
  <si>
    <t>RES SMD 300K OHM 1% 1/3W 0603</t>
  </si>
  <si>
    <t>RES 0.01 OHM 1% 3W 2512</t>
  </si>
  <si>
    <t>STMICROELECTRONICS  STM32G431KBT6  MCU ARM, STM32 Family STM32G4 Series Microcontrollers, ARM Cortex-M4F, 32 bits, 170 MHz, 128 KB_x000D_
Fabricant</t>
  </si>
  <si>
    <t>2 Ampere High Speed_x000D_
Low-Side MOSFET Driver</t>
  </si>
  <si>
    <t>IC REG LINEAR 5V 150MA SOT89</t>
  </si>
  <si>
    <t>10V/V "-5-V TO 110-V, BIDIRECTIONAL, 1." Current Sense Amplifier 1 Circuit Single-Ended 8-VSSOP</t>
  </si>
  <si>
    <t>IC REG LINEAR 3.3V 150MA SOT89</t>
  </si>
  <si>
    <t>Footprint</t>
  </si>
  <si>
    <t>CAP 0603_1608</t>
  </si>
  <si>
    <t>MURATA - GRM32E</t>
  </si>
  <si>
    <t>LED 0603_1608 RED</t>
  </si>
  <si>
    <t>LED 0603_1608</t>
  </si>
  <si>
    <t>TO-252</t>
  </si>
  <si>
    <t>WURTH WE-HCI 1890</t>
  </si>
  <si>
    <t>RES 0603_1608</t>
  </si>
  <si>
    <t>RES 2512_6432</t>
  </si>
  <si>
    <t>STM-LQFP32_N</t>
  </si>
  <si>
    <t>SOT-23-5</t>
  </si>
  <si>
    <t>DIODES INC SOT-89</t>
  </si>
  <si>
    <t>SOT65P280X110-8N</t>
  </si>
  <si>
    <t>manufacturer</t>
  </si>
  <si>
    <t>KEMET</t>
  </si>
  <si>
    <t>Murata Electronics</t>
  </si>
  <si>
    <t>Yageo</t>
  </si>
  <si>
    <t>Citizen</t>
  </si>
  <si>
    <t>Vishay</t>
  </si>
  <si>
    <t>Würth Elektronik</t>
  </si>
  <si>
    <t>Infineon</t>
  </si>
  <si>
    <t>KOA Speer Electronics, Inc.</t>
  </si>
  <si>
    <t>Panasonic Electronic Components</t>
  </si>
  <si>
    <t>Vishay Dale</t>
  </si>
  <si>
    <t>Rohm Semiconductor</t>
  </si>
  <si>
    <t>STM</t>
  </si>
  <si>
    <t>IXYS</t>
  </si>
  <si>
    <t>Diodes Incorporated</t>
  </si>
  <si>
    <t>Texas Instruments</t>
  </si>
  <si>
    <t>Part Number</t>
  </si>
  <si>
    <t>C0603C271J1GACAUTO</t>
  </si>
  <si>
    <t>GRM32EC72A106KE05L</t>
  </si>
  <si>
    <t>GCG188R92A104KA03D</t>
  </si>
  <si>
    <t>CS0603KRX7R7BB104</t>
  </si>
  <si>
    <t>C0603C224K4RECAUTO</t>
  </si>
  <si>
    <t>CL-195HR-CD-T</t>
  </si>
  <si>
    <t>CL-198N-WS-D-T</t>
  </si>
  <si>
    <t>V40PW10C</t>
  </si>
  <si>
    <t>74435571500</t>
  </si>
  <si>
    <t>IPD30N06S4L-23</t>
  </si>
  <si>
    <t>RK73H1JTTD2R21F</t>
  </si>
  <si>
    <t>ERJ-3EKF22R0V</t>
  </si>
  <si>
    <t>TNPW060310K0BETA</t>
  </si>
  <si>
    <t>ESR03EZPF10R0</t>
  </si>
  <si>
    <t>CRCW0603300KFKEAHP</t>
  </si>
  <si>
    <t>WSLP2512R0100FEA</t>
  </si>
  <si>
    <t>Supplier 1</t>
  </si>
  <si>
    <t>DigiKey</t>
  </si>
  <si>
    <t/>
  </si>
  <si>
    <t>Mouser</t>
  </si>
  <si>
    <t>Farnell</t>
  </si>
  <si>
    <t>Supplier Part Number 1</t>
  </si>
  <si>
    <t>490-16266-1-ND</t>
  </si>
  <si>
    <t>490-18197-1-ND</t>
  </si>
  <si>
    <t>311-3560-1-ND</t>
  </si>
  <si>
    <t>1642-1492-1-ND</t>
  </si>
  <si>
    <t>1642-1495-1-ND</t>
  </si>
  <si>
    <t>78-V40PW10C-M3/I</t>
  </si>
  <si>
    <t>726-IPD30N12S3L31AT</t>
  </si>
  <si>
    <t>P22.0HCT-ND</t>
  </si>
  <si>
    <t>RHM10.0ADCT-ND</t>
  </si>
  <si>
    <t>541-CRCW0603300KFKEAHPCT-ND</t>
  </si>
  <si>
    <t>3132405</t>
  </si>
  <si>
    <t>595-INA296B1IDDFR</t>
  </si>
  <si>
    <t>Code Achat</t>
  </si>
  <si>
    <t>Quantity</t>
  </si>
  <si>
    <t>C:\Mike\Mike\Boost_Converter\Boost\HW\Boost_Converter_V1.0\Boost_Converter_V1.0.PrjPcb</t>
  </si>
  <si>
    <t>Boost_Converter_V1.0.PrjPcb</t>
  </si>
  <si>
    <t>07/11/2025 07:44</t>
  </si>
  <si>
    <t>Bill of Materials</t>
  </si>
  <si>
    <t>BomReport</t>
  </si>
  <si>
    <t>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</si>
</sst>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C09]dd\-mmm\-yy;@"/>
    <numFmt numFmtId="165" formatCode="[$-409]h:mm:ss\ AM/PM;@"/>
    <numFmt numFmtId="166" formatCode="h:mm:ss;@"/>
  </numFmts>
  <fonts count="17" x14ac:knownFonts="1">
    <font>
      <sz val="10"/>
      <name val="Arial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sz val="10"/>
      <color indexed="13"/>
      <name val="Verdana"/>
      <family val="2"/>
    </font>
    <font>
      <sz val="10"/>
      <name val="Verdana"/>
      <family val="2"/>
    </font>
    <font>
      <b/>
      <sz val="12"/>
      <color indexed="13"/>
      <name val="Verdana"/>
      <family val="2"/>
    </font>
    <font>
      <b/>
      <sz val="10"/>
      <color indexed="10"/>
      <name val="Verdana"/>
      <family val="2"/>
    </font>
    <font>
      <sz val="10"/>
      <color indexed="10"/>
      <name val="Verdana"/>
      <family val="2"/>
    </font>
    <font>
      <sz val="9"/>
      <color indexed="10"/>
      <name val="Verdana"/>
      <family val="2"/>
    </font>
    <font>
      <b/>
      <sz val="10"/>
      <name val="Verdana"/>
      <family val="2"/>
    </font>
    <font>
      <b/>
      <sz val="24"/>
      <name val="Verdana"/>
      <family val="2"/>
    </font>
    <font>
      <sz val="9"/>
      <name val="Verdana"/>
      <family val="2"/>
    </font>
    <font>
      <b/>
      <sz val="12"/>
      <name val="Verdana"/>
      <family val="2"/>
    </font>
    <font>
      <b/>
      <sz val="12"/>
      <color indexed="56"/>
      <name val="Verdana"/>
      <family val="2"/>
    </font>
    <font>
      <b/>
      <sz val="8"/>
      <name val="Verdana"/>
      <family val="2"/>
    </font>
    <font>
      <sz val="8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8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5" fillId="4" borderId="0" xfId="0" applyFont="1" applyFill="1"/>
    <xf numFmtId="0" fontId="5" fillId="0" borderId="0" xfId="0" applyFont="1" applyAlignment="1">
      <alignment vertical="top"/>
    </xf>
    <xf numFmtId="0" fontId="10" fillId="0" borderId="2" xfId="0" applyFont="1" applyBorder="1" applyAlignment="1" applyProtection="1">
      <alignment horizontal="left" vertical="top"/>
      <protection locked="0"/>
    </xf>
    <xf numFmtId="0" fontId="5" fillId="0" borderId="3" xfId="0" applyFont="1" applyBorder="1" applyAlignment="1">
      <alignment vertical="top"/>
    </xf>
    <xf numFmtId="0" fontId="5" fillId="0" borderId="0" xfId="0" applyFont="1" applyAlignment="1" applyProtection="1">
      <alignment vertical="top"/>
      <protection locked="0"/>
    </xf>
    <xf numFmtId="0" fontId="5" fillId="0" borderId="0" xfId="0" applyFont="1" applyAlignment="1" applyProtection="1">
      <alignment horizontal="left" vertical="top"/>
      <protection locked="0"/>
    </xf>
    <xf numFmtId="0" fontId="5" fillId="0" borderId="4" xfId="0" applyFont="1" applyBorder="1" applyAlignment="1" applyProtection="1">
      <alignment horizontal="left" vertical="top"/>
      <protection locked="0"/>
    </xf>
    <xf numFmtId="0" fontId="5" fillId="0" borderId="5" xfId="0" applyFont="1" applyBorder="1"/>
    <xf numFmtId="0" fontId="5" fillId="0" borderId="0" xfId="0" applyFont="1"/>
    <xf numFmtId="0" fontId="5" fillId="0" borderId="6" xfId="0" applyFont="1" applyBorder="1" applyAlignment="1" applyProtection="1">
      <alignment horizontal="left" vertical="top"/>
      <protection locked="0"/>
    </xf>
    <xf numFmtId="0" fontId="5" fillId="0" borderId="7" xfId="0" applyFont="1" applyBorder="1" applyAlignment="1" applyProtection="1">
      <alignment vertical="top"/>
      <protection locked="0"/>
    </xf>
    <xf numFmtId="0" fontId="5" fillId="0" borderId="8" xfId="0" applyFont="1" applyBorder="1" applyAlignment="1" applyProtection="1">
      <alignment vertical="top"/>
      <protection locked="0"/>
    </xf>
    <xf numFmtId="0" fontId="5" fillId="0" borderId="9" xfId="0" applyFont="1" applyBorder="1" applyAlignment="1" applyProtection="1">
      <alignment vertical="top"/>
      <protection locked="0"/>
    </xf>
    <xf numFmtId="0" fontId="5" fillId="0" borderId="10" xfId="0" applyFont="1" applyBorder="1" applyAlignment="1" applyProtection="1">
      <alignment horizontal="left" vertical="top"/>
      <protection locked="0"/>
    </xf>
    <xf numFmtId="0" fontId="5" fillId="0" borderId="11" xfId="0" applyFont="1" applyBorder="1"/>
    <xf numFmtId="0" fontId="5" fillId="0" borderId="9" xfId="0" applyFont="1" applyBorder="1"/>
    <xf numFmtId="0" fontId="5" fillId="0" borderId="12" xfId="0" applyFont="1" applyBorder="1" applyAlignment="1" applyProtection="1">
      <alignment vertical="top"/>
      <protection locked="0"/>
    </xf>
    <xf numFmtId="0" fontId="5" fillId="0" borderId="0" xfId="0" applyFont="1" applyAlignment="1">
      <alignment horizontal="left" vertical="top"/>
    </xf>
    <xf numFmtId="0" fontId="4" fillId="4" borderId="7" xfId="0" applyFont="1" applyFill="1" applyBorder="1"/>
    <xf numFmtId="0" fontId="4" fillId="4" borderId="0" xfId="0" applyFont="1" applyFill="1"/>
    <xf numFmtId="0" fontId="4" fillId="4" borderId="3" xfId="0" applyFont="1" applyFill="1" applyBorder="1"/>
    <xf numFmtId="0" fontId="6" fillId="4" borderId="9" xfId="0" applyFont="1" applyFill="1" applyBorder="1" applyAlignment="1">
      <alignment vertical="center"/>
    </xf>
    <xf numFmtId="0" fontId="7" fillId="0" borderId="0" xfId="0" applyFont="1"/>
    <xf numFmtId="0" fontId="8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  <xf numFmtId="0" fontId="5" fillId="0" borderId="0" xfId="0" applyFont="1" applyAlignment="1">
      <alignment horizontal="left"/>
    </xf>
    <xf numFmtId="0" fontId="10" fillId="0" borderId="13" xfId="0" applyFont="1" applyBorder="1"/>
    <xf numFmtId="0" fontId="10" fillId="0" borderId="13" xfId="0" applyFont="1" applyBorder="1" applyAlignment="1">
      <alignment horizontal="left"/>
    </xf>
    <xf numFmtId="0" fontId="12" fillId="0" borderId="0" xfId="0" applyFont="1"/>
    <xf numFmtId="0" fontId="5" fillId="0" borderId="13" xfId="0" applyFont="1" applyBorder="1"/>
    <xf numFmtId="0" fontId="8" fillId="0" borderId="7" xfId="0" applyFont="1" applyBorder="1"/>
    <xf numFmtId="0" fontId="8" fillId="0" borderId="0" xfId="0" applyFont="1"/>
    <xf numFmtId="0" fontId="7" fillId="0" borderId="7" xfId="0" applyFont="1" applyBorder="1"/>
    <xf numFmtId="0" fontId="9" fillId="0" borderId="7" xfId="0" applyFont="1" applyBorder="1"/>
    <xf numFmtId="165" fontId="8" fillId="0" borderId="0" xfId="0" applyNumberFormat="1" applyFont="1" applyAlignment="1">
      <alignment horizontal="left"/>
    </xf>
    <xf numFmtId="0" fontId="9" fillId="0" borderId="14" xfId="0" applyFont="1" applyBorder="1"/>
    <xf numFmtId="0" fontId="13" fillId="4" borderId="9" xfId="0" applyFont="1" applyFill="1" applyBorder="1" applyAlignment="1">
      <alignment vertical="center"/>
    </xf>
    <xf numFmtId="0" fontId="5" fillId="0" borderId="13" xfId="0" applyFont="1" applyBorder="1" applyAlignment="1">
      <alignment horizontal="left"/>
    </xf>
    <xf numFmtId="164" fontId="5" fillId="0" borderId="13" xfId="0" applyNumberFormat="1" applyFont="1" applyBorder="1" applyAlignment="1">
      <alignment horizontal="left"/>
    </xf>
    <xf numFmtId="0" fontId="5" fillId="4" borderId="7" xfId="0" applyFont="1" applyFill="1" applyBorder="1"/>
    <xf numFmtId="0" fontId="15" fillId="6" borderId="16" xfId="0" applyFont="1" applyFill="1" applyBorder="1" applyAlignment="1">
      <alignment horizontal="center" vertical="center"/>
    </xf>
    <xf numFmtId="0" fontId="15" fillId="6" borderId="17" xfId="0" applyFont="1" applyFill="1" applyBorder="1" applyAlignment="1">
      <alignment horizontal="center" vertical="center"/>
    </xf>
    <xf numFmtId="0" fontId="15" fillId="6" borderId="18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6" fillId="0" borderId="21" xfId="0" applyFont="1" applyBorder="1" applyAlignment="1">
      <alignment horizontal="center" vertical="top" wrapText="1"/>
    </xf>
    <xf numFmtId="0" fontId="5" fillId="4" borderId="0" xfId="0" applyFont="1" applyFill="1" applyAlignment="1">
      <alignment vertical="top"/>
    </xf>
    <xf numFmtId="0" fontId="10" fillId="4" borderId="0" xfId="0" applyFont="1" applyFill="1" applyAlignment="1">
      <alignment vertical="center"/>
    </xf>
    <xf numFmtId="0" fontId="4" fillId="4" borderId="9" xfId="0" applyFont="1" applyFill="1" applyBorder="1"/>
    <xf numFmtId="0" fontId="5" fillId="4" borderId="0" xfId="0" applyFont="1" applyFill="1" applyAlignment="1">
      <alignment horizontal="left" vertical="top"/>
    </xf>
    <xf numFmtId="0" fontId="11" fillId="0" borderId="0" xfId="0" applyFont="1" applyAlignment="1">
      <alignment vertical="center"/>
    </xf>
    <xf numFmtId="0" fontId="5" fillId="4" borderId="9" xfId="0" applyFont="1" applyFill="1" applyBorder="1"/>
    <xf numFmtId="166" fontId="5" fillId="0" borderId="13" xfId="0" applyNumberFormat="1" applyFont="1" applyBorder="1" applyAlignment="1">
      <alignment horizontal="left"/>
    </xf>
    <xf numFmtId="0" fontId="12" fillId="0" borderId="22" xfId="0" applyFont="1" applyBorder="1"/>
    <xf numFmtId="0" fontId="12" fillId="0" borderId="13" xfId="0" applyFont="1" applyBorder="1"/>
    <xf numFmtId="0" fontId="5" fillId="0" borderId="3" xfId="0" applyFont="1" applyBorder="1" applyAlignment="1" applyProtection="1">
      <alignment horizontal="left" vertical="top"/>
      <protection locked="0"/>
    </xf>
    <xf numFmtId="0" fontId="16" fillId="5" borderId="23" xfId="0" applyFont="1" applyFill="1" applyBorder="1" applyAlignment="1">
      <alignment vertical="top" wrapText="1"/>
    </xf>
    <xf numFmtId="0" fontId="16" fillId="0" borderId="25" xfId="0" applyFont="1" applyBorder="1" applyAlignment="1">
      <alignment vertical="top" wrapText="1"/>
    </xf>
    <xf numFmtId="0" fontId="16" fillId="5" borderId="27" xfId="0" applyFont="1" applyFill="1" applyBorder="1" applyAlignment="1">
      <alignment horizontal="center" vertical="top" wrapText="1"/>
    </xf>
    <xf numFmtId="0" fontId="16" fillId="0" borderId="22" xfId="0" applyFont="1" applyBorder="1" applyAlignment="1">
      <alignment vertical="top" wrapText="1"/>
    </xf>
    <xf numFmtId="0" fontId="16" fillId="0" borderId="13" xfId="0" applyFont="1" applyBorder="1" applyAlignment="1">
      <alignment vertical="top" wrapText="1"/>
    </xf>
    <xf numFmtId="0" fontId="16" fillId="0" borderId="15" xfId="0" applyFont="1" applyBorder="1" applyAlignment="1">
      <alignment vertical="top" wrapText="1"/>
    </xf>
    <xf numFmtId="0" fontId="16" fillId="0" borderId="0" xfId="0" applyFont="1" applyAlignment="1">
      <alignment vertical="top" wrapText="1"/>
    </xf>
    <xf numFmtId="0" fontId="5" fillId="0" borderId="29" xfId="0" applyFont="1" applyBorder="1" applyAlignment="1">
      <alignment vertical="top"/>
    </xf>
    <xf numFmtId="0" fontId="13" fillId="4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10" fillId="0" borderId="31" xfId="0" applyFont="1" applyBorder="1"/>
    <xf numFmtId="0" fontId="10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49" fontId="16" fillId="5" borderId="24" xfId="0" applyNumberFormat="1" applyFont="1" applyFill="1" applyBorder="1" applyAlignment="1">
      <alignment vertical="top" wrapText="1"/>
    </xf>
    <xf numFmtId="49" fontId="16" fillId="5" borderId="26" xfId="0" applyNumberFormat="1" applyFont="1" applyFill="1" applyBorder="1" applyAlignment="1">
      <alignment vertical="top" wrapText="1"/>
    </xf>
    <xf numFmtId="49" fontId="16" fillId="0" borderId="20" xfId="0" applyNumberFormat="1" applyFont="1" applyBorder="1" applyAlignment="1">
      <alignment vertical="top" wrapText="1"/>
    </xf>
    <xf numFmtId="0" fontId="10" fillId="0" borderId="28" xfId="0" applyFont="1" applyBorder="1" applyAlignment="1" applyProtection="1">
      <alignment horizontal="left" vertical="top"/>
      <protection locked="0"/>
    </xf>
    <xf numFmtId="0" fontId="10" fillId="0" borderId="3" xfId="0" applyFont="1" applyBorder="1" applyAlignment="1" applyProtection="1">
      <alignment horizontal="left" vertical="top"/>
      <protection locked="0"/>
    </xf>
    <xf numFmtId="0" fontId="14" fillId="4" borderId="30" xfId="0" quotePrefix="1" applyFont="1" applyFill="1" applyBorder="1" applyAlignment="1">
      <alignment vertical="center"/>
    </xf>
    <xf numFmtId="0" fontId="14" fillId="4" borderId="8" xfId="0" quotePrefix="1" applyFont="1" applyFill="1" applyBorder="1" applyAlignment="1">
      <alignment vertical="center"/>
    </xf>
    <xf numFmtId="0" fontId="10" fillId="0" borderId="31" xfId="0" quotePrefix="1" applyFont="1" applyBorder="1" applyAlignment="1">
      <alignment horizontal="left"/>
    </xf>
    <xf numFmtId="0" fontId="10" fillId="0" borderId="0" xfId="0" quotePrefix="1" applyFont="1" applyAlignment="1">
      <alignment horizontal="left"/>
    </xf>
    <xf numFmtId="0" fontId="10" fillId="0" borderId="13" xfId="0" quotePrefix="1" applyFont="1" applyBorder="1" applyAlignment="1">
      <alignment horizontal="left"/>
    </xf>
    <xf numFmtId="0" fontId="5" fillId="0" borderId="3" xfId="0" quotePrefix="1" applyFont="1" applyBorder="1" applyAlignment="1">
      <alignment horizontal="left"/>
    </xf>
    <xf numFmtId="0" fontId="15" fillId="0" borderId="19" xfId="0" quotePrefix="1" applyFont="1" applyBorder="1" applyAlignment="1">
      <alignment horizontal="center" vertical="top" wrapText="1"/>
    </xf>
    <xf numFmtId="0" fontId="2" fillId="3" borderId="1" xfId="0" quotePrefix="1" applyFont="1" applyFill="1" applyBorder="1" applyAlignment="1">
      <alignment horizontal="left" vertical="center"/>
    </xf>
    <xf numFmtId="0" fontId="2" fillId="2" borderId="0" xfId="0" quotePrefix="1" applyFont="1" applyFill="1" applyAlignment="1">
      <alignment horizontal="left" vertical="center"/>
    </xf>
    <xf numFmtId="0" fontId="2" fillId="3" borderId="0" xfId="0" quotePrefix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E37823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CFDADC"/>
      <rgbColor rgb="00339966"/>
      <rgbColor rgb="0092A7B0"/>
      <rgbColor rgb="005F778F"/>
      <rgbColor rgb="00101F31"/>
      <rgbColor rgb="00993366"/>
      <rgbColor rgb="002B5797"/>
      <rgbColor rgb="00B7D141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47"/>
  <sheetViews>
    <sheetView showGridLines="0" tabSelected="1" topLeftCell="A4" zoomScaleNormal="100" workbookViewId="0">
      <selection activeCell="J13" sqref="J13"/>
    </sheetView>
  </sheetViews>
  <sheetFormatPr defaultColWidth="9.140625" defaultRowHeight="12.75" x14ac:dyDescent="0.2"/>
  <cols>
    <col min="1" max="1" width="2.7109375" style="5" customWidth="1"/>
    <col min="2" max="2" width="5.42578125" style="5" customWidth="1"/>
    <col min="3" max="3" width="26" style="21" customWidth="1"/>
    <col min="4" max="4" width="29.5703125" style="21" customWidth="1"/>
    <col min="5" max="5" width="42.140625" style="21" customWidth="1"/>
    <col min="6" max="6" width="34.140625" style="21" customWidth="1"/>
    <col min="7" max="7" width="20.140625" style="5" customWidth="1"/>
    <col min="8" max="8" width="22.140625" style="5" customWidth="1"/>
    <col min="9" max="9" width="25.42578125" style="5" customWidth="1"/>
    <col min="10" max="10" width="24.85546875" style="5" customWidth="1"/>
    <col min="11" max="11" width="22.85546875" style="5" customWidth="1"/>
    <col min="12" max="12" width="16.7109375" style="5" customWidth="1"/>
    <col min="13" max="13" width="2.42578125" style="5" customWidth="1"/>
    <col min="14" max="14" width="9.7109375" style="5" customWidth="1"/>
    <col min="15" max="16384" width="9.140625" style="5"/>
  </cols>
  <sheetData>
    <row r="1" spans="1:13" ht="14.25" customHeight="1" thickBot="1" x14ac:dyDescent="0.25">
      <c r="A1" s="23"/>
      <c r="B1" s="55"/>
      <c r="C1" s="55"/>
      <c r="D1" s="52"/>
      <c r="E1" s="52"/>
      <c r="F1" s="24"/>
      <c r="G1" s="24"/>
      <c r="H1" s="24"/>
      <c r="I1" s="24"/>
      <c r="J1" s="24"/>
      <c r="K1" s="24"/>
      <c r="L1" s="24"/>
      <c r="M1" s="50"/>
    </row>
    <row r="2" spans="1:13" ht="37.5" customHeight="1" x14ac:dyDescent="0.2">
      <c r="A2" s="22"/>
      <c r="B2" s="54"/>
      <c r="C2" s="54" t="s">
        <v>21</v>
      </c>
      <c r="D2" s="54"/>
      <c r="E2" s="54"/>
      <c r="F2" s="78" t="s">
        <v>30</v>
      </c>
      <c r="G2" s="68"/>
      <c r="H2" s="69"/>
      <c r="I2" s="69"/>
      <c r="J2" s="69"/>
      <c r="K2" s="69"/>
      <c r="L2" s="23"/>
      <c r="M2" s="50"/>
    </row>
    <row r="3" spans="1:13" ht="37.5" customHeight="1" thickBot="1" x14ac:dyDescent="0.25">
      <c r="A3" s="22"/>
      <c r="B3" s="54"/>
      <c r="C3" s="54"/>
      <c r="D3" s="54"/>
      <c r="E3" s="54"/>
      <c r="F3" s="79" t="s">
        <v>31</v>
      </c>
      <c r="G3" s="41"/>
      <c r="H3" s="25"/>
      <c r="I3" s="25"/>
      <c r="J3" s="25"/>
      <c r="K3" s="25"/>
      <c r="L3" s="52"/>
      <c r="M3" s="50"/>
    </row>
    <row r="4" spans="1:13" ht="23.25" customHeight="1" x14ac:dyDescent="0.2">
      <c r="A4" s="22"/>
      <c r="B4" s="29"/>
      <c r="C4" s="29" t="s">
        <v>22</v>
      </c>
      <c r="D4" s="30"/>
      <c r="E4" s="30"/>
      <c r="F4" s="80" t="s">
        <v>31</v>
      </c>
      <c r="G4" s="70"/>
      <c r="H4" s="26"/>
      <c r="I4" s="26"/>
      <c r="J4" s="26"/>
      <c r="K4" s="26"/>
      <c r="L4" s="35"/>
      <c r="M4" s="50"/>
    </row>
    <row r="5" spans="1:13" ht="17.25" customHeight="1" x14ac:dyDescent="0.2">
      <c r="A5" s="22"/>
      <c r="B5" s="29"/>
      <c r="C5" s="29" t="s">
        <v>23</v>
      </c>
      <c r="D5" s="72"/>
      <c r="E5" s="72" t="s">
        <v>24</v>
      </c>
      <c r="F5" s="81" t="s">
        <v>31</v>
      </c>
      <c r="G5" s="71"/>
      <c r="H5" s="29"/>
      <c r="I5" s="36"/>
      <c r="J5" s="36"/>
      <c r="K5" s="36"/>
      <c r="L5" s="35"/>
      <c r="M5" s="50"/>
    </row>
    <row r="6" spans="1:13" ht="17.25" customHeight="1" x14ac:dyDescent="0.2">
      <c r="A6" s="22"/>
      <c r="B6" s="29"/>
      <c r="C6" s="29"/>
      <c r="D6" s="72"/>
      <c r="E6" s="72" t="s">
        <v>25</v>
      </c>
      <c r="F6" s="81" t="s">
        <v>32</v>
      </c>
      <c r="G6" s="71"/>
      <c r="H6" s="29"/>
      <c r="I6" s="36"/>
      <c r="J6" s="36"/>
      <c r="K6" s="36"/>
      <c r="L6" s="35"/>
      <c r="M6" s="50"/>
    </row>
    <row r="7" spans="1:13" ht="17.25" customHeight="1" x14ac:dyDescent="0.2">
      <c r="A7" s="22"/>
      <c r="B7" s="29"/>
      <c r="C7" s="29"/>
      <c r="D7" s="72"/>
      <c r="E7" s="72" t="s">
        <v>26</v>
      </c>
      <c r="F7" s="82" t="s">
        <v>33</v>
      </c>
      <c r="G7" s="32"/>
      <c r="H7" s="36"/>
      <c r="I7" s="36"/>
      <c r="J7" s="36"/>
      <c r="K7" s="36"/>
      <c r="L7" s="35"/>
      <c r="M7" s="50"/>
    </row>
    <row r="8" spans="1:13" ht="17.25" customHeight="1" x14ac:dyDescent="0.2">
      <c r="A8" s="22"/>
      <c r="B8" s="29"/>
      <c r="C8" s="29"/>
      <c r="D8" s="30"/>
      <c r="E8" s="30"/>
      <c r="F8" s="71"/>
      <c r="G8" s="12"/>
      <c r="H8" s="36"/>
      <c r="I8" s="36"/>
      <c r="J8" s="36"/>
      <c r="K8" s="36"/>
      <c r="L8" s="35"/>
      <c r="M8" s="50"/>
    </row>
    <row r="9" spans="1:13" x14ac:dyDescent="0.2">
      <c r="A9" s="22"/>
      <c r="B9" s="31"/>
      <c r="C9" s="31"/>
      <c r="D9" s="32"/>
      <c r="E9" s="32"/>
      <c r="F9" s="42"/>
      <c r="G9" s="34"/>
      <c r="H9" s="36"/>
      <c r="I9" s="36"/>
      <c r="J9" s="36"/>
      <c r="K9" s="36"/>
      <c r="L9" s="37"/>
      <c r="M9" s="50"/>
    </row>
    <row r="10" spans="1:13" ht="15.75" customHeight="1" x14ac:dyDescent="0.2">
      <c r="A10" s="22"/>
      <c r="B10" s="33"/>
      <c r="C10" s="33" t="s">
        <v>14</v>
      </c>
      <c r="D10" s="33"/>
      <c r="E10" s="33"/>
      <c r="F10" s="83" t="s">
        <v>34</v>
      </c>
      <c r="G10" s="83" t="s">
        <v>35</v>
      </c>
      <c r="H10" s="27"/>
      <c r="I10" s="28"/>
      <c r="J10" s="28"/>
      <c r="K10" s="28"/>
      <c r="L10" s="38"/>
      <c r="M10" s="50"/>
    </row>
    <row r="11" spans="1:13" ht="15.75" customHeight="1" x14ac:dyDescent="0.2">
      <c r="A11" s="22"/>
      <c r="B11" s="57"/>
      <c r="C11" s="34"/>
      <c r="D11" s="58"/>
      <c r="E11" s="58"/>
      <c r="F11" s="43"/>
      <c r="G11" s="56"/>
      <c r="H11" s="27"/>
      <c r="I11" s="28"/>
      <c r="J11" s="28"/>
      <c r="K11" s="28"/>
      <c r="L11" s="38"/>
      <c r="M11" s="50"/>
    </row>
    <row r="12" spans="1:13" ht="15.75" customHeight="1" x14ac:dyDescent="0.2">
      <c r="A12" s="22"/>
      <c r="B12" s="34"/>
      <c r="C12" s="5"/>
      <c r="D12" s="34"/>
      <c r="E12" s="34"/>
      <c r="F12" s="5"/>
      <c r="H12" s="39"/>
      <c r="I12" s="28"/>
      <c r="J12" s="28"/>
      <c r="K12" s="28"/>
      <c r="L12" s="40"/>
      <c r="M12" s="50"/>
    </row>
    <row r="13" spans="1:13" s="48" customFormat="1" ht="18" customHeight="1" x14ac:dyDescent="0.2">
      <c r="A13" s="44"/>
      <c r="B13" s="45" t="s">
        <v>17</v>
      </c>
      <c r="C13" s="46" t="s">
        <v>37</v>
      </c>
      <c r="D13" s="46" t="s">
        <v>59</v>
      </c>
      <c r="E13" s="46" t="s">
        <v>81</v>
      </c>
      <c r="F13" s="46" t="s">
        <v>103</v>
      </c>
      <c r="G13" s="46" t="s">
        <v>116</v>
      </c>
      <c r="H13" s="46" t="s">
        <v>132</v>
      </c>
      <c r="I13" s="46" t="s">
        <v>149</v>
      </c>
      <c r="J13" s="46" t="s">
        <v>154</v>
      </c>
      <c r="K13" s="46" t="s">
        <v>167</v>
      </c>
      <c r="L13" s="47" t="s">
        <v>168</v>
      </c>
      <c r="M13" s="51"/>
    </row>
    <row r="14" spans="1:13" x14ac:dyDescent="0.2">
      <c r="A14" s="22"/>
      <c r="B14" s="60">
        <f>ROW(B14) - ROW($B$13)</f>
        <v>1</v>
      </c>
      <c r="C14" s="73" t="s">
        <v>38</v>
      </c>
      <c r="D14" s="73" t="s">
        <v>60</v>
      </c>
      <c r="E14" s="73" t="s">
        <v>82</v>
      </c>
      <c r="F14" s="74" t="s">
        <v>104</v>
      </c>
      <c r="G14" s="74" t="s">
        <v>117</v>
      </c>
      <c r="H14" s="73" t="s">
        <v>133</v>
      </c>
      <c r="I14" s="74"/>
      <c r="J14" s="74"/>
      <c r="K14" s="73"/>
      <c r="L14" s="62">
        <v>1</v>
      </c>
      <c r="M14" s="50"/>
    </row>
    <row r="15" spans="1:13" x14ac:dyDescent="0.2">
      <c r="A15" s="22"/>
      <c r="B15" s="61">
        <f>ROW(B15) - ROW($B$13)</f>
        <v>2</v>
      </c>
      <c r="C15" s="75" t="s">
        <v>39</v>
      </c>
      <c r="D15" s="75" t="s">
        <v>61</v>
      </c>
      <c r="E15" s="75" t="s">
        <v>83</v>
      </c>
      <c r="F15" s="75" t="s">
        <v>105</v>
      </c>
      <c r="G15" s="75" t="s">
        <v>118</v>
      </c>
      <c r="H15" s="75" t="s">
        <v>134</v>
      </c>
      <c r="I15" s="75" t="s">
        <v>150</v>
      </c>
      <c r="J15" s="75" t="s">
        <v>155</v>
      </c>
      <c r="K15" s="75" t="s">
        <v>151</v>
      </c>
      <c r="L15" s="49">
        <v>5</v>
      </c>
      <c r="M15" s="50"/>
    </row>
    <row r="16" spans="1:13" x14ac:dyDescent="0.2">
      <c r="A16" s="22"/>
      <c r="B16" s="60">
        <f>ROW(B16) - ROW($B$13)</f>
        <v>3</v>
      </c>
      <c r="C16" s="73" t="s">
        <v>40</v>
      </c>
      <c r="D16" s="73" t="s">
        <v>62</v>
      </c>
      <c r="E16" s="73" t="s">
        <v>84</v>
      </c>
      <c r="F16" s="74" t="s">
        <v>104</v>
      </c>
      <c r="G16" s="74" t="s">
        <v>118</v>
      </c>
      <c r="H16" s="73" t="s">
        <v>135</v>
      </c>
      <c r="I16" s="74" t="s">
        <v>150</v>
      </c>
      <c r="J16" s="74" t="s">
        <v>156</v>
      </c>
      <c r="K16" s="73" t="s">
        <v>151</v>
      </c>
      <c r="L16" s="62">
        <v>3</v>
      </c>
      <c r="M16" s="50"/>
    </row>
    <row r="17" spans="1:13" ht="21" x14ac:dyDescent="0.2">
      <c r="A17" s="22"/>
      <c r="B17" s="61">
        <f>ROW(B17) - ROW($B$13)</f>
        <v>4</v>
      </c>
      <c r="C17" s="75" t="s">
        <v>41</v>
      </c>
      <c r="D17" s="75" t="s">
        <v>63</v>
      </c>
      <c r="E17" s="75" t="s">
        <v>85</v>
      </c>
      <c r="F17" s="75" t="s">
        <v>104</v>
      </c>
      <c r="G17" s="75" t="s">
        <v>119</v>
      </c>
      <c r="H17" s="75" t="s">
        <v>136</v>
      </c>
      <c r="I17" s="75" t="s">
        <v>150</v>
      </c>
      <c r="J17" s="75" t="s">
        <v>157</v>
      </c>
      <c r="K17" s="75" t="s">
        <v>151</v>
      </c>
      <c r="L17" s="49">
        <v>10</v>
      </c>
      <c r="M17" s="50"/>
    </row>
    <row r="18" spans="1:13" x14ac:dyDescent="0.2">
      <c r="A18" s="22"/>
      <c r="B18" s="60">
        <f>ROW(B18) - ROW($B$13)</f>
        <v>5</v>
      </c>
      <c r="C18" s="73" t="s">
        <v>42</v>
      </c>
      <c r="D18" s="73" t="s">
        <v>64</v>
      </c>
      <c r="E18" s="73" t="s">
        <v>86</v>
      </c>
      <c r="F18" s="74" t="s">
        <v>104</v>
      </c>
      <c r="G18" s="74" t="s">
        <v>117</v>
      </c>
      <c r="H18" s="73" t="s">
        <v>137</v>
      </c>
      <c r="I18" s="74" t="s">
        <v>151</v>
      </c>
      <c r="J18" s="74" t="s">
        <v>151</v>
      </c>
      <c r="K18" s="73" t="s">
        <v>151</v>
      </c>
      <c r="L18" s="62">
        <v>3</v>
      </c>
      <c r="M18" s="50"/>
    </row>
    <row r="19" spans="1:13" x14ac:dyDescent="0.2">
      <c r="A19" s="22"/>
      <c r="B19" s="61">
        <f>ROW(B19) - ROW($B$13)</f>
        <v>6</v>
      </c>
      <c r="C19" s="75" t="s">
        <v>43</v>
      </c>
      <c r="D19" s="75" t="s">
        <v>65</v>
      </c>
      <c r="E19" s="75" t="s">
        <v>87</v>
      </c>
      <c r="F19" s="75" t="s">
        <v>106</v>
      </c>
      <c r="G19" s="75" t="s">
        <v>120</v>
      </c>
      <c r="H19" s="75" t="s">
        <v>138</v>
      </c>
      <c r="I19" s="75" t="s">
        <v>150</v>
      </c>
      <c r="J19" s="75" t="s">
        <v>158</v>
      </c>
      <c r="K19" s="75"/>
      <c r="L19" s="49">
        <v>1</v>
      </c>
      <c r="M19" s="50"/>
    </row>
    <row r="20" spans="1:13" x14ac:dyDescent="0.2">
      <c r="A20" s="22"/>
      <c r="B20" s="60">
        <f>ROW(B20) - ROW($B$13)</f>
        <v>7</v>
      </c>
      <c r="C20" s="73" t="s">
        <v>44</v>
      </c>
      <c r="D20" s="73" t="s">
        <v>66</v>
      </c>
      <c r="E20" s="73" t="s">
        <v>88</v>
      </c>
      <c r="F20" s="74" t="s">
        <v>107</v>
      </c>
      <c r="G20" s="74" t="s">
        <v>120</v>
      </c>
      <c r="H20" s="73" t="s">
        <v>139</v>
      </c>
      <c r="I20" s="74" t="s">
        <v>150</v>
      </c>
      <c r="J20" s="74" t="s">
        <v>159</v>
      </c>
      <c r="K20" s="73"/>
      <c r="L20" s="62">
        <v>1</v>
      </c>
      <c r="M20" s="50"/>
    </row>
    <row r="21" spans="1:13" ht="21" x14ac:dyDescent="0.2">
      <c r="A21" s="22"/>
      <c r="B21" s="61">
        <f>ROW(B21) - ROW($B$13)</f>
        <v>8</v>
      </c>
      <c r="C21" s="75" t="s">
        <v>45</v>
      </c>
      <c r="D21" s="75" t="s">
        <v>67</v>
      </c>
      <c r="E21" s="75" t="s">
        <v>89</v>
      </c>
      <c r="F21" s="75" t="s">
        <v>108</v>
      </c>
      <c r="G21" s="75" t="s">
        <v>121</v>
      </c>
      <c r="H21" s="75" t="s">
        <v>140</v>
      </c>
      <c r="I21" s="75" t="s">
        <v>152</v>
      </c>
      <c r="J21" s="75" t="s">
        <v>160</v>
      </c>
      <c r="K21" s="75"/>
      <c r="L21" s="49">
        <v>1</v>
      </c>
      <c r="M21" s="50"/>
    </row>
    <row r="22" spans="1:13" x14ac:dyDescent="0.2">
      <c r="A22" s="22"/>
      <c r="B22" s="60">
        <f>ROW(B22) - ROW($B$13)</f>
        <v>9</v>
      </c>
      <c r="C22" s="73" t="s">
        <v>46</v>
      </c>
      <c r="D22" s="73" t="s">
        <v>68</v>
      </c>
      <c r="E22" s="73" t="s">
        <v>90</v>
      </c>
      <c r="F22" s="74" t="s">
        <v>109</v>
      </c>
      <c r="G22" s="74" t="s">
        <v>122</v>
      </c>
      <c r="H22" s="73" t="s">
        <v>141</v>
      </c>
      <c r="I22" s="74"/>
      <c r="J22" s="74"/>
      <c r="K22" s="73"/>
      <c r="L22" s="62">
        <v>1</v>
      </c>
      <c r="M22" s="50"/>
    </row>
    <row r="23" spans="1:13" ht="21" x14ac:dyDescent="0.2">
      <c r="A23" s="22"/>
      <c r="B23" s="61">
        <f>ROW(B23) - ROW($B$13)</f>
        <v>10</v>
      </c>
      <c r="C23" s="75" t="s">
        <v>47</v>
      </c>
      <c r="D23" s="75" t="s">
        <v>69</v>
      </c>
      <c r="E23" s="75" t="s">
        <v>91</v>
      </c>
      <c r="F23" s="75" t="s">
        <v>108</v>
      </c>
      <c r="G23" s="75" t="s">
        <v>123</v>
      </c>
      <c r="H23" s="75" t="s">
        <v>142</v>
      </c>
      <c r="I23" s="75" t="s">
        <v>152</v>
      </c>
      <c r="J23" s="75" t="s">
        <v>161</v>
      </c>
      <c r="K23" s="75"/>
      <c r="L23" s="49">
        <v>1</v>
      </c>
      <c r="M23" s="50"/>
    </row>
    <row r="24" spans="1:13" ht="21" x14ac:dyDescent="0.2">
      <c r="A24" s="22"/>
      <c r="B24" s="60">
        <f>ROW(B24) - ROW($B$13)</f>
        <v>11</v>
      </c>
      <c r="C24" s="73" t="s">
        <v>48</v>
      </c>
      <c r="D24" s="73" t="s">
        <v>70</v>
      </c>
      <c r="E24" s="73" t="s">
        <v>92</v>
      </c>
      <c r="F24" s="74" t="s">
        <v>110</v>
      </c>
      <c r="G24" s="74" t="s">
        <v>124</v>
      </c>
      <c r="H24" s="73" t="s">
        <v>143</v>
      </c>
      <c r="I24" s="74"/>
      <c r="J24" s="74"/>
      <c r="K24" s="73"/>
      <c r="L24" s="62">
        <v>1</v>
      </c>
      <c r="M24" s="50"/>
    </row>
    <row r="25" spans="1:13" ht="21" x14ac:dyDescent="0.2">
      <c r="A25" s="22"/>
      <c r="B25" s="61">
        <f>ROW(B25) - ROW($B$13)</f>
        <v>12</v>
      </c>
      <c r="C25" s="75" t="s">
        <v>49</v>
      </c>
      <c r="D25" s="75" t="s">
        <v>71</v>
      </c>
      <c r="E25" s="75" t="s">
        <v>93</v>
      </c>
      <c r="F25" s="75" t="s">
        <v>110</v>
      </c>
      <c r="G25" s="75" t="s">
        <v>125</v>
      </c>
      <c r="H25" s="75" t="s">
        <v>144</v>
      </c>
      <c r="I25" s="75" t="s">
        <v>150</v>
      </c>
      <c r="J25" s="75" t="s">
        <v>162</v>
      </c>
      <c r="K25" s="75" t="s">
        <v>151</v>
      </c>
      <c r="L25" s="49">
        <v>2</v>
      </c>
      <c r="M25" s="50"/>
    </row>
    <row r="26" spans="1:13" ht="21" x14ac:dyDescent="0.2">
      <c r="A26" s="22"/>
      <c r="B26" s="60">
        <f>ROW(B26) - ROW($B$13)</f>
        <v>13</v>
      </c>
      <c r="C26" s="73" t="s">
        <v>50</v>
      </c>
      <c r="D26" s="73" t="s">
        <v>72</v>
      </c>
      <c r="E26" s="73" t="s">
        <v>94</v>
      </c>
      <c r="F26" s="74" t="s">
        <v>110</v>
      </c>
      <c r="G26" s="74" t="s">
        <v>126</v>
      </c>
      <c r="H26" s="73" t="s">
        <v>145</v>
      </c>
      <c r="I26" s="74" t="s">
        <v>151</v>
      </c>
      <c r="J26" s="74" t="s">
        <v>151</v>
      </c>
      <c r="K26" s="73" t="s">
        <v>151</v>
      </c>
      <c r="L26" s="62">
        <v>9</v>
      </c>
      <c r="M26" s="50"/>
    </row>
    <row r="27" spans="1:13" x14ac:dyDescent="0.2">
      <c r="A27" s="22"/>
      <c r="B27" s="61">
        <f>ROW(B27) - ROW($B$13)</f>
        <v>14</v>
      </c>
      <c r="C27" s="75" t="s">
        <v>51</v>
      </c>
      <c r="D27" s="75" t="s">
        <v>73</v>
      </c>
      <c r="E27" s="75" t="s">
        <v>95</v>
      </c>
      <c r="F27" s="75" t="s">
        <v>110</v>
      </c>
      <c r="G27" s="75" t="s">
        <v>127</v>
      </c>
      <c r="H27" s="75" t="s">
        <v>146</v>
      </c>
      <c r="I27" s="75" t="s">
        <v>150</v>
      </c>
      <c r="J27" s="75" t="s">
        <v>163</v>
      </c>
      <c r="K27" s="75"/>
      <c r="L27" s="49">
        <v>1</v>
      </c>
      <c r="M27" s="50"/>
    </row>
    <row r="28" spans="1:13" ht="31.5" x14ac:dyDescent="0.2">
      <c r="A28" s="22"/>
      <c r="B28" s="60">
        <f>ROW(B28) - ROW($B$13)</f>
        <v>15</v>
      </c>
      <c r="C28" s="73" t="s">
        <v>52</v>
      </c>
      <c r="D28" s="73" t="s">
        <v>74</v>
      </c>
      <c r="E28" s="73" t="s">
        <v>96</v>
      </c>
      <c r="F28" s="74" t="s">
        <v>110</v>
      </c>
      <c r="G28" s="74" t="s">
        <v>126</v>
      </c>
      <c r="H28" s="73" t="s">
        <v>147</v>
      </c>
      <c r="I28" s="74" t="s">
        <v>150</v>
      </c>
      <c r="J28" s="74" t="s">
        <v>164</v>
      </c>
      <c r="K28" s="73"/>
      <c r="L28" s="62">
        <v>3</v>
      </c>
      <c r="M28" s="50"/>
    </row>
    <row r="29" spans="1:13" x14ac:dyDescent="0.2">
      <c r="A29" s="22"/>
      <c r="B29" s="61">
        <f>ROW(B29) - ROW($B$13)</f>
        <v>16</v>
      </c>
      <c r="C29" s="75" t="s">
        <v>53</v>
      </c>
      <c r="D29" s="75" t="s">
        <v>75</v>
      </c>
      <c r="E29" s="75" t="s">
        <v>97</v>
      </c>
      <c r="F29" s="75" t="s">
        <v>111</v>
      </c>
      <c r="G29" s="75" t="s">
        <v>126</v>
      </c>
      <c r="H29" s="75" t="s">
        <v>148</v>
      </c>
      <c r="I29" s="75" t="s">
        <v>151</v>
      </c>
      <c r="J29" s="75" t="s">
        <v>151</v>
      </c>
      <c r="K29" s="75" t="s">
        <v>151</v>
      </c>
      <c r="L29" s="49">
        <v>2</v>
      </c>
      <c r="M29" s="50"/>
    </row>
    <row r="30" spans="1:13" ht="52.5" x14ac:dyDescent="0.2">
      <c r="A30" s="22"/>
      <c r="B30" s="60">
        <f>ROW(B30) - ROW($B$13)</f>
        <v>17</v>
      </c>
      <c r="C30" s="73" t="s">
        <v>54</v>
      </c>
      <c r="D30" s="73" t="s">
        <v>76</v>
      </c>
      <c r="E30" s="73" t="s">
        <v>98</v>
      </c>
      <c r="F30" s="74" t="s">
        <v>112</v>
      </c>
      <c r="G30" s="74" t="s">
        <v>128</v>
      </c>
      <c r="H30" s="73" t="s">
        <v>76</v>
      </c>
      <c r="I30" s="74" t="s">
        <v>153</v>
      </c>
      <c r="J30" s="74" t="s">
        <v>165</v>
      </c>
      <c r="K30" s="73"/>
      <c r="L30" s="62">
        <v>1</v>
      </c>
      <c r="M30" s="50"/>
    </row>
    <row r="31" spans="1:13" ht="21" x14ac:dyDescent="0.2">
      <c r="A31" s="22"/>
      <c r="B31" s="61">
        <f>ROW(B31) - ROW($B$13)</f>
        <v>18</v>
      </c>
      <c r="C31" s="75" t="s">
        <v>55</v>
      </c>
      <c r="D31" s="75" t="s">
        <v>77</v>
      </c>
      <c r="E31" s="75" t="s">
        <v>99</v>
      </c>
      <c r="F31" s="75" t="s">
        <v>113</v>
      </c>
      <c r="G31" s="75" t="s">
        <v>129</v>
      </c>
      <c r="H31" s="75" t="s">
        <v>77</v>
      </c>
      <c r="I31" s="75"/>
      <c r="J31" s="75"/>
      <c r="K31" s="75"/>
      <c r="L31" s="49">
        <v>1</v>
      </c>
      <c r="M31" s="50"/>
    </row>
    <row r="32" spans="1:13" x14ac:dyDescent="0.2">
      <c r="A32" s="22"/>
      <c r="B32" s="60">
        <f>ROW(B32) - ROW($B$13)</f>
        <v>19</v>
      </c>
      <c r="C32" s="73" t="s">
        <v>56</v>
      </c>
      <c r="D32" s="73" t="s">
        <v>78</v>
      </c>
      <c r="E32" s="73" t="s">
        <v>100</v>
      </c>
      <c r="F32" s="74" t="s">
        <v>114</v>
      </c>
      <c r="G32" s="74" t="s">
        <v>130</v>
      </c>
      <c r="H32" s="73" t="s">
        <v>78</v>
      </c>
      <c r="I32" s="74"/>
      <c r="J32" s="74"/>
      <c r="K32" s="73"/>
      <c r="L32" s="62">
        <v>1</v>
      </c>
      <c r="M32" s="50"/>
    </row>
    <row r="33" spans="1:13" ht="31.5" x14ac:dyDescent="0.2">
      <c r="A33" s="22"/>
      <c r="B33" s="61">
        <f>ROW(B33) - ROW($B$13)</f>
        <v>20</v>
      </c>
      <c r="C33" s="75" t="s">
        <v>57</v>
      </c>
      <c r="D33" s="75" t="s">
        <v>79</v>
      </c>
      <c r="E33" s="75" t="s">
        <v>101</v>
      </c>
      <c r="F33" s="75" t="s">
        <v>115</v>
      </c>
      <c r="G33" s="75" t="s">
        <v>131</v>
      </c>
      <c r="H33" s="75" t="s">
        <v>79</v>
      </c>
      <c r="I33" s="75" t="s">
        <v>152</v>
      </c>
      <c r="J33" s="75" t="s">
        <v>166</v>
      </c>
      <c r="K33" s="75" t="s">
        <v>151</v>
      </c>
      <c r="L33" s="49">
        <v>2</v>
      </c>
      <c r="M33" s="50"/>
    </row>
    <row r="34" spans="1:13" x14ac:dyDescent="0.2">
      <c r="A34" s="22"/>
      <c r="B34" s="60">
        <f>ROW(B34) - ROW($B$13)</f>
        <v>21</v>
      </c>
      <c r="C34" s="73" t="s">
        <v>58</v>
      </c>
      <c r="D34" s="73" t="s">
        <v>80</v>
      </c>
      <c r="E34" s="73" t="s">
        <v>102</v>
      </c>
      <c r="F34" s="74" t="s">
        <v>114</v>
      </c>
      <c r="G34" s="74" t="s">
        <v>130</v>
      </c>
      <c r="H34" s="73" t="s">
        <v>80</v>
      </c>
      <c r="I34" s="74"/>
      <c r="J34" s="74"/>
      <c r="K34" s="73"/>
      <c r="L34" s="62">
        <v>1</v>
      </c>
      <c r="M34" s="50"/>
    </row>
    <row r="35" spans="1:13" x14ac:dyDescent="0.2">
      <c r="A35" s="22"/>
      <c r="B35" s="63"/>
      <c r="C35" s="64"/>
      <c r="D35" s="64"/>
      <c r="E35" s="64"/>
      <c r="F35" s="65"/>
      <c r="G35" s="66"/>
      <c r="H35" s="66"/>
      <c r="I35" s="66"/>
      <c r="J35" s="65"/>
      <c r="K35" s="66"/>
      <c r="L35" s="84" t="s">
        <v>36</v>
      </c>
      <c r="M35" s="50"/>
    </row>
    <row r="36" spans="1:13" x14ac:dyDescent="0.2">
      <c r="A36" s="22"/>
      <c r="B36" s="76" t="s">
        <v>15</v>
      </c>
      <c r="C36" s="77"/>
      <c r="D36" s="59"/>
      <c r="E36" s="59"/>
      <c r="F36" s="10"/>
      <c r="G36" s="6" t="s">
        <v>16</v>
      </c>
      <c r="H36" s="7"/>
      <c r="I36" s="7"/>
      <c r="K36" s="7"/>
      <c r="L36" s="67"/>
      <c r="M36" s="50"/>
    </row>
    <row r="37" spans="1:13" x14ac:dyDescent="0.2">
      <c r="A37" s="22"/>
      <c r="B37" s="8"/>
      <c r="C37" s="8"/>
      <c r="D37" s="9"/>
      <c r="E37" s="9"/>
      <c r="F37" s="13"/>
      <c r="G37" s="11" t="s">
        <v>19</v>
      </c>
      <c r="H37" s="12"/>
      <c r="I37" s="12"/>
      <c r="J37" s="12"/>
      <c r="K37" s="12"/>
      <c r="L37" s="14"/>
      <c r="M37" s="50"/>
    </row>
    <row r="38" spans="1:13" x14ac:dyDescent="0.2">
      <c r="A38" s="22"/>
      <c r="B38" s="8"/>
      <c r="C38" s="8"/>
      <c r="D38" s="9"/>
      <c r="E38" s="9"/>
      <c r="F38" s="13"/>
      <c r="G38" s="12" t="s">
        <v>20</v>
      </c>
      <c r="H38" s="12"/>
      <c r="I38" s="12"/>
      <c r="J38" s="12"/>
      <c r="K38" s="12"/>
      <c r="L38" s="14"/>
      <c r="M38" s="50"/>
    </row>
    <row r="39" spans="1:13" x14ac:dyDescent="0.2">
      <c r="A39" s="22"/>
      <c r="B39" s="8"/>
      <c r="C39" s="8"/>
      <c r="D39" s="8"/>
      <c r="E39" s="8"/>
      <c r="F39" s="13"/>
      <c r="G39" s="11" t="s">
        <v>18</v>
      </c>
      <c r="H39" s="12"/>
      <c r="I39" s="12"/>
      <c r="K39" s="12"/>
      <c r="L39" s="14"/>
      <c r="M39" s="50"/>
    </row>
    <row r="40" spans="1:13" x14ac:dyDescent="0.2">
      <c r="A40" s="22"/>
      <c r="B40" s="8"/>
      <c r="C40" s="8"/>
      <c r="D40" s="8"/>
      <c r="E40" s="8"/>
      <c r="F40" s="13"/>
      <c r="G40" s="11"/>
      <c r="H40" s="12" t="s">
        <v>27</v>
      </c>
      <c r="I40" s="12"/>
      <c r="J40" s="12"/>
      <c r="K40" s="12"/>
      <c r="L40" s="14"/>
      <c r="M40" s="50"/>
    </row>
    <row r="41" spans="1:13" x14ac:dyDescent="0.2">
      <c r="A41" s="22"/>
      <c r="B41" s="8"/>
      <c r="C41" s="8"/>
      <c r="D41" s="8"/>
      <c r="E41" s="8"/>
      <c r="F41" s="13"/>
      <c r="G41" s="11"/>
      <c r="H41" s="12" t="s">
        <v>28</v>
      </c>
      <c r="I41" s="12"/>
      <c r="J41" s="12"/>
      <c r="K41" s="12"/>
      <c r="L41" s="14"/>
      <c r="M41" s="50"/>
    </row>
    <row r="42" spans="1:13" x14ac:dyDescent="0.2">
      <c r="A42" s="22"/>
      <c r="B42" s="8"/>
      <c r="C42" s="8"/>
      <c r="D42" s="8"/>
      <c r="E42" s="8"/>
      <c r="F42" s="13"/>
      <c r="G42" s="11"/>
      <c r="H42" s="12"/>
      <c r="I42" s="12"/>
      <c r="J42" s="12"/>
      <c r="K42" s="12"/>
      <c r="L42" s="14"/>
      <c r="M42" s="50"/>
    </row>
    <row r="43" spans="1:13" ht="13.5" thickBot="1" x14ac:dyDescent="0.25">
      <c r="A43" s="22"/>
      <c r="B43" s="15"/>
      <c r="C43" s="16"/>
      <c r="D43" s="16"/>
      <c r="E43" s="16"/>
      <c r="F43" s="17"/>
      <c r="G43" s="18"/>
      <c r="H43" s="19"/>
      <c r="I43" s="19"/>
      <c r="J43" s="19"/>
      <c r="K43" s="19"/>
      <c r="L43" s="20"/>
      <c r="M43" s="50"/>
    </row>
    <row r="44" spans="1:13" x14ac:dyDescent="0.2">
      <c r="A44" s="50"/>
      <c r="B44" s="50"/>
      <c r="C44" s="53"/>
      <c r="D44" s="53"/>
      <c r="E44" s="53"/>
      <c r="F44" s="53"/>
      <c r="G44" s="4"/>
      <c r="H44" s="50"/>
      <c r="I44" s="4"/>
      <c r="J44" s="4"/>
      <c r="K44" s="4"/>
      <c r="L44" s="50"/>
      <c r="M44" s="50"/>
    </row>
    <row r="45" spans="1:13" x14ac:dyDescent="0.2">
      <c r="C45" s="5"/>
      <c r="D45" s="5"/>
      <c r="E45" s="5"/>
      <c r="F45" s="5"/>
    </row>
    <row r="46" spans="1:13" x14ac:dyDescent="0.2">
      <c r="C46" s="5"/>
      <c r="D46" s="5"/>
      <c r="E46" s="5"/>
      <c r="F46" s="5"/>
    </row>
    <row r="47" spans="1:13" x14ac:dyDescent="0.2">
      <c r="C47" s="5"/>
      <c r="D47" s="5"/>
      <c r="E47" s="5"/>
      <c r="F47" s="5"/>
    </row>
  </sheetData>
  <mergeCells count="1">
    <mergeCell ref="B36:C36"/>
  </mergeCells>
  <phoneticPr fontId="0" type="noConversion"/>
  <printOptions horizontalCentered="1"/>
  <pageMargins left="0.35433070866141736" right="0.35433070866141736" top="0.39370078740157483" bottom="0.70866141732283472" header="0.27559055118110237" footer="0.51181102362204722"/>
  <pageSetup paperSize="8" scale="63" fitToHeight="0" orientation="landscape" verticalDpi="200" r:id="rId1"/>
  <headerFooter alignWithMargins="0">
    <oddFooter>&amp;L&amp;"Arial,Gras"AERECO&amp;RPage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4"/>
  <sheetViews>
    <sheetView workbookViewId="0">
      <selection activeCell="B15" sqref="B15"/>
    </sheetView>
  </sheetViews>
  <sheetFormatPr defaultColWidth="9.140625" defaultRowHeight="12.75" x14ac:dyDescent="0.2"/>
  <cols>
    <col min="1" max="1" width="28" bestFit="1" customWidth="1"/>
    <col min="2" max="2" width="110.5703125" customWidth="1"/>
  </cols>
  <sheetData>
    <row r="1" spans="1:2" x14ac:dyDescent="0.2">
      <c r="A1" s="3" t="s">
        <v>0</v>
      </c>
      <c r="B1" s="85" t="s">
        <v>169</v>
      </c>
    </row>
    <row r="2" spans="1:2" x14ac:dyDescent="0.2">
      <c r="A2" s="2" t="s">
        <v>1</v>
      </c>
      <c r="B2" s="86" t="s">
        <v>170</v>
      </c>
    </row>
    <row r="3" spans="1:2" x14ac:dyDescent="0.2">
      <c r="A3" s="3" t="s">
        <v>2</v>
      </c>
      <c r="B3" s="87" t="s">
        <v>32</v>
      </c>
    </row>
    <row r="4" spans="1:2" x14ac:dyDescent="0.2">
      <c r="A4" s="2" t="s">
        <v>3</v>
      </c>
      <c r="B4" s="86" t="s">
        <v>170</v>
      </c>
    </row>
    <row r="5" spans="1:2" x14ac:dyDescent="0.2">
      <c r="A5" s="3" t="s">
        <v>4</v>
      </c>
      <c r="B5" s="87" t="s">
        <v>169</v>
      </c>
    </row>
    <row r="6" spans="1:2" x14ac:dyDescent="0.2">
      <c r="A6" s="2" t="s">
        <v>5</v>
      </c>
      <c r="B6" s="86" t="s">
        <v>30</v>
      </c>
    </row>
    <row r="7" spans="1:2" x14ac:dyDescent="0.2">
      <c r="A7" s="3" t="s">
        <v>6</v>
      </c>
      <c r="B7" s="87" t="s">
        <v>36</v>
      </c>
    </row>
    <row r="8" spans="1:2" x14ac:dyDescent="0.2">
      <c r="A8" s="2" t="s">
        <v>7</v>
      </c>
      <c r="B8" s="86" t="s">
        <v>35</v>
      </c>
    </row>
    <row r="9" spans="1:2" x14ac:dyDescent="0.2">
      <c r="A9" s="3" t="s">
        <v>8</v>
      </c>
      <c r="B9" s="87" t="s">
        <v>34</v>
      </c>
    </row>
    <row r="10" spans="1:2" x14ac:dyDescent="0.2">
      <c r="A10" s="2" t="s">
        <v>9</v>
      </c>
      <c r="B10" s="86" t="s">
        <v>171</v>
      </c>
    </row>
    <row r="11" spans="1:2" x14ac:dyDescent="0.2">
      <c r="A11" s="3" t="s">
        <v>10</v>
      </c>
      <c r="B11" s="87" t="s">
        <v>172</v>
      </c>
    </row>
    <row r="12" spans="1:2" x14ac:dyDescent="0.2">
      <c r="A12" s="2" t="s">
        <v>11</v>
      </c>
      <c r="B12" s="86" t="s">
        <v>173</v>
      </c>
    </row>
    <row r="13" spans="1:2" x14ac:dyDescent="0.2">
      <c r="A13" s="3" t="s">
        <v>12</v>
      </c>
      <c r="B13" s="87" t="s">
        <v>174</v>
      </c>
    </row>
    <row r="14" spans="1:2" x14ac:dyDescent="0.2">
      <c r="A14" s="2" t="s">
        <v>13</v>
      </c>
      <c r="B14" s="1" t="s">
        <v>29</v>
      </c>
    </row>
  </sheetData>
  <phoneticPr fontId="3" type="noConversion"/>
  <pageMargins left="0.78740157499999996" right="0.78740157499999996" top="0.984251969" bottom="0.984251969" header="0.5" footer="0.5"/>
  <pageSetup paperSize="9" orientation="portrait" verticalDpi="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37B2B2C255CE41BC545B39D6C0F69E" ma:contentTypeVersion="11" ma:contentTypeDescription="Crée un document." ma:contentTypeScope="" ma:versionID="362ed4af6463ea73039a722183696d74">
  <xsd:schema xmlns:xsd="http://www.w3.org/2001/XMLSchema" xmlns:xs="http://www.w3.org/2001/XMLSchema" xmlns:p="http://schemas.microsoft.com/office/2006/metadata/properties" xmlns:ns2="c66960e9-d388-440d-a45d-9e1c9ec33f92" xmlns:ns3="614e266e-9df7-4814-81a9-e5822ee3a5e5" targetNamespace="http://schemas.microsoft.com/office/2006/metadata/properties" ma:root="true" ma:fieldsID="ad22b730828ee13a820da17cd396ab49" ns2:_="" ns3:_="">
    <xsd:import namespace="c66960e9-d388-440d-a45d-9e1c9ec33f92"/>
    <xsd:import namespace="614e266e-9df7-4814-81a9-e5822ee3a5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6960e9-d388-440d-a45d-9e1c9ec33f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4e266e-9df7-4814-81a9-e5822ee3a5e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947E01-2239-4660-8B6A-7C54E4EBCF7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BB82A3B-73B1-4311-9BC9-0F7B9F4A58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670B14-61AF-416F-A1A2-D5302BDEED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6960e9-d388-440d-a45d-9e1c9ec33f92"/>
    <ds:schemaRef ds:uri="614e266e-9df7-4814-81a9-e5822ee3a5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Part List Report</vt:lpstr>
      <vt:lpstr>Project Information</vt:lpstr>
      <vt:lpstr>'Part List Report'!Print_Titles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HERNANDEZ</dc:creator>
  <cp:lastModifiedBy>Michael HERNANDEZ</cp:lastModifiedBy>
  <cp:lastPrinted>2017-05-11T13:11:55Z</cp:lastPrinted>
  <dcterms:created xsi:type="dcterms:W3CDTF">2002-11-05T15:28:02Z</dcterms:created>
  <dcterms:modified xsi:type="dcterms:W3CDTF">2025-11-07T13:44:36Z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0x0101001837B2B2C255CE41BC545B39D6C0F69E</vt:lpwstr>
  </property>
</Properties>
</file>